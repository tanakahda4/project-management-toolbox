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nakahda/Desktop/"/>
    </mc:Choice>
  </mc:AlternateContent>
  <xr:revisionPtr revIDLastSave="0" documentId="13_ncr:1_{651F187E-B485-274A-971A-220B4934AB8A}" xr6:coauthVersionLast="47" xr6:coauthVersionMax="47" xr10:uidLastSave="{00000000-0000-0000-0000-000000000000}"/>
  <bookViews>
    <workbookView xWindow="37500" yWindow="2180" windowWidth="28300" windowHeight="16900" xr2:uid="{FB9F2275-D551-E54D-8C69-FD8C942F700D}"/>
  </bookViews>
  <sheets>
    <sheet name="SUM" sheetId="2" r:id="rId1"/>
    <sheet name="case1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H2" i="2"/>
  <c r="G2" i="2"/>
  <c r="E2" i="2"/>
  <c r="F2" i="2" l="1"/>
</calcChain>
</file>

<file path=xl/sharedStrings.xml><?xml version="1.0" encoding="utf-8"?>
<sst xmlns="http://schemas.openxmlformats.org/spreadsheetml/2006/main" count="63" uniqueCount="36">
  <si>
    <t>レンタルビデオの料金割引のデシジョンテーブル</t>
    <rPh sb="8" eb="12">
      <t>リョウキンワ</t>
    </rPh>
    <phoneticPr fontId="1"/>
  </si>
  <si>
    <t>条件</t>
    <rPh sb="0" eb="2">
      <t xml:space="preserve">ジョウケン </t>
    </rPh>
    <phoneticPr fontId="1"/>
  </si>
  <si>
    <t>新作</t>
    <rPh sb="0" eb="2">
      <t xml:space="preserve">シンサク </t>
    </rPh>
    <phoneticPr fontId="1"/>
  </si>
  <si>
    <t>旧作</t>
    <rPh sb="0" eb="2">
      <t xml:space="preserve">キュウサク </t>
    </rPh>
    <phoneticPr fontId="1"/>
  </si>
  <si>
    <t>年齢60歳以上</t>
    <rPh sb="0" eb="2">
      <t xml:space="preserve">ネンレイ </t>
    </rPh>
    <rPh sb="4" eb="5">
      <t xml:space="preserve">サイ </t>
    </rPh>
    <rPh sb="5" eb="7">
      <t xml:space="preserve">イジョウ </t>
    </rPh>
    <phoneticPr fontId="1"/>
  </si>
  <si>
    <t>年齢18歳未満</t>
    <rPh sb="0" eb="1">
      <t xml:space="preserve">ネンレイ </t>
    </rPh>
    <rPh sb="4" eb="5">
      <t xml:space="preserve">サイ </t>
    </rPh>
    <rPh sb="5" eb="7">
      <t xml:space="preserve">ミマン </t>
    </rPh>
    <phoneticPr fontId="1"/>
  </si>
  <si>
    <t>◯</t>
    <phoneticPr fontId="1"/>
  </si>
  <si>
    <t>通常料金</t>
    <rPh sb="0" eb="2">
      <t xml:space="preserve">ツウジョウ </t>
    </rPh>
    <rPh sb="2" eb="4">
      <t xml:space="preserve">リョウキン </t>
    </rPh>
    <phoneticPr fontId="1"/>
  </si>
  <si>
    <t>10%オフ</t>
    <phoneticPr fontId="1"/>
  </si>
  <si>
    <t>半額</t>
    <rPh sb="0" eb="2">
      <t xml:space="preserve">ハンガク </t>
    </rPh>
    <phoneticPr fontId="1"/>
  </si>
  <si>
    <t>15%オフ</t>
    <phoneticPr fontId="1"/>
  </si>
  <si>
    <t>新旧</t>
    <rPh sb="0" eb="2">
      <t xml:space="preserve">シンキュウ </t>
    </rPh>
    <phoneticPr fontId="1"/>
  </si>
  <si>
    <t>年齢</t>
    <rPh sb="0" eb="2">
      <t xml:space="preserve">ネンレイ </t>
    </rPh>
    <phoneticPr fontId="1"/>
  </si>
  <si>
    <t>アクション・期待値</t>
    <rPh sb="6" eb="9">
      <t xml:space="preserve">キタイチ </t>
    </rPh>
    <phoneticPr fontId="1"/>
  </si>
  <si>
    <t>料金</t>
    <rPh sb="0" eb="2">
      <t xml:space="preserve">リョウキン </t>
    </rPh>
    <phoneticPr fontId="1"/>
  </si>
  <si>
    <t>OK</t>
    <phoneticPr fontId="1"/>
  </si>
  <si>
    <t>結果</t>
    <rPh sb="0" eb="2">
      <t xml:space="preserve">ケッカ </t>
    </rPh>
    <phoneticPr fontId="1"/>
  </si>
  <si>
    <t>NG</t>
    <phoneticPr fontId="1"/>
  </si>
  <si>
    <t>田中</t>
    <rPh sb="0" eb="2">
      <t xml:space="preserve">タナカ </t>
    </rPh>
    <phoneticPr fontId="1"/>
  </si>
  <si>
    <t>case1</t>
    <phoneticPr fontId="1"/>
  </si>
  <si>
    <t>case2</t>
    <phoneticPr fontId="1"/>
  </si>
  <si>
    <t>N/A</t>
    <phoneticPr fontId="1"/>
  </si>
  <si>
    <t>v1.0</t>
    <phoneticPr fontId="1"/>
  </si>
  <si>
    <t>v1.1</t>
    <phoneticPr fontId="1"/>
  </si>
  <si>
    <t>ソフトウェアバージョン</t>
    <phoneticPr fontId="1"/>
  </si>
  <si>
    <t>OK｜NG｜N/A</t>
    <phoneticPr fontId="1"/>
  </si>
  <si>
    <t>日付</t>
    <rPh sb="0" eb="2">
      <t xml:space="preserve">ヒヅケ </t>
    </rPh>
    <phoneticPr fontId="1"/>
  </si>
  <si>
    <t>担当者</t>
    <rPh sb="0" eb="3">
      <t xml:space="preserve">タントウシャ </t>
    </rPh>
    <phoneticPr fontId="1"/>
  </si>
  <si>
    <t>消化数</t>
    <rPh sb="0" eb="3">
      <t xml:space="preserve">ショウカスウ </t>
    </rPh>
    <phoneticPr fontId="1"/>
  </si>
  <si>
    <t>全項目数</t>
    <rPh sb="0" eb="1">
      <t xml:space="preserve">ゼン </t>
    </rPh>
    <rPh sb="1" eb="3">
      <t xml:space="preserve">コウモク </t>
    </rPh>
    <rPh sb="3" eb="4">
      <t xml:space="preserve">スウ </t>
    </rPh>
    <phoneticPr fontId="1"/>
  </si>
  <si>
    <t>シート</t>
    <phoneticPr fontId="1"/>
  </si>
  <si>
    <t>テストケース名</t>
    <rPh sb="6" eb="7">
      <t xml:space="preserve">メイ </t>
    </rPh>
    <phoneticPr fontId="1"/>
  </si>
  <si>
    <t>内容</t>
    <rPh sb="0" eb="2">
      <t xml:space="preserve">ナイヨウ </t>
    </rPh>
    <phoneticPr fontId="1"/>
  </si>
  <si>
    <t>#</t>
    <phoneticPr fontId="1"/>
  </si>
  <si>
    <t>レンタルビデオの料金割引</t>
    <phoneticPr fontId="1"/>
  </si>
  <si>
    <t>新旧作・年齢条件に応じた割引率</t>
    <rPh sb="0" eb="3">
      <t xml:space="preserve">シンキュウサク </t>
    </rPh>
    <rPh sb="4" eb="6">
      <t xml:space="preserve">ネンレイ </t>
    </rPh>
    <rPh sb="6" eb="8">
      <t xml:space="preserve">ジョウケン </t>
    </rPh>
    <rPh sb="9" eb="10">
      <t xml:space="preserve">オウジタ </t>
    </rPh>
    <rPh sb="12" eb="15">
      <t xml:space="preserve">ワリビキリツ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</si>
</sst>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m/d;@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5" xfId="0" applyFont="1" applyBorder="1">
      <alignment vertical="center"/>
    </xf>
    <xf numFmtId="180" fontId="2" fillId="0" borderId="1" xfId="0" applyNumberFormat="1" applyFont="1" applyBorder="1" applyAlignment="1">
      <alignment vertical="center" shrinkToFit="1"/>
    </xf>
    <xf numFmtId="180" fontId="2" fillId="0" borderId="5" xfId="0" applyNumberFormat="1" applyFont="1" applyBorder="1" applyAlignment="1">
      <alignment vertical="center" shrinkToFit="1"/>
    </xf>
    <xf numFmtId="0" fontId="2" fillId="6" borderId="0" xfId="0" applyFont="1" applyFill="1" applyBorder="1">
      <alignment vertical="center"/>
    </xf>
    <xf numFmtId="0" fontId="2" fillId="6" borderId="6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0" xfId="0" applyFont="1" applyFill="1" applyBorder="1">
      <alignment vertical="center"/>
    </xf>
    <xf numFmtId="0" fontId="2" fillId="6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1501-6E3B-5943-9EE4-63A289DAB9C9}">
  <sheetPr>
    <pageSetUpPr fitToPage="1"/>
  </sheetPr>
  <dimension ref="A1:I3"/>
  <sheetViews>
    <sheetView showGridLines="0" tabSelected="1" workbookViewId="0">
      <selection activeCell="C20" sqref="C20"/>
    </sheetView>
  </sheetViews>
  <sheetFormatPr baseColWidth="10" defaultRowHeight="18"/>
  <cols>
    <col min="1" max="1" width="10.7109375" style="1"/>
    <col min="2" max="2" width="23.42578125" style="1" customWidth="1"/>
    <col min="3" max="3" width="33.28515625" style="1" customWidth="1"/>
    <col min="4" max="16384" width="10.7109375" style="1"/>
  </cols>
  <sheetData>
    <row r="1" spans="1:9">
      <c r="A1" s="5" t="s">
        <v>33</v>
      </c>
      <c r="B1" s="5" t="s">
        <v>31</v>
      </c>
      <c r="C1" s="5" t="s">
        <v>32</v>
      </c>
      <c r="D1" s="5" t="s">
        <v>30</v>
      </c>
      <c r="E1" s="5" t="s">
        <v>29</v>
      </c>
      <c r="F1" s="5" t="s">
        <v>28</v>
      </c>
      <c r="G1" s="5" t="s">
        <v>15</v>
      </c>
      <c r="H1" s="5" t="s">
        <v>17</v>
      </c>
      <c r="I1" s="5" t="s">
        <v>21</v>
      </c>
    </row>
    <row r="2" spans="1:9">
      <c r="A2" s="2">
        <v>1</v>
      </c>
      <c r="B2" s="2" t="s">
        <v>34</v>
      </c>
      <c r="C2" s="2" t="s">
        <v>35</v>
      </c>
      <c r="D2" s="2" t="s">
        <v>19</v>
      </c>
      <c r="E2" s="2">
        <f>COUNTA(case1!$D$2:$AX$2)</f>
        <v>6</v>
      </c>
      <c r="F2" s="2">
        <f>SUM(G2:I2)</f>
        <v>5</v>
      </c>
      <c r="G2" s="2">
        <f>COUNTIF(case1!$D$11:$AX$11,"OK")</f>
        <v>4</v>
      </c>
      <c r="H2" s="2">
        <f>COUNTIF(case1!$D$11:$AX$11,"NG")</f>
        <v>1</v>
      </c>
      <c r="I2" s="2">
        <f>COUNTIF(case1!$D$11:$AX$11,"N/A")</f>
        <v>0</v>
      </c>
    </row>
    <row r="3" spans="1:9">
      <c r="A3" s="2">
        <v>2</v>
      </c>
      <c r="B3" s="2"/>
      <c r="C3" s="2"/>
      <c r="D3" s="2" t="s">
        <v>20</v>
      </c>
      <c r="E3" s="2"/>
      <c r="F3" s="2"/>
      <c r="G3" s="2"/>
      <c r="H3" s="2"/>
      <c r="I3" s="2"/>
    </row>
  </sheetData>
  <phoneticPr fontId="1"/>
  <pageMargins left="0.7" right="0.7" top="0.75" bottom="0.75" header="0.3" footer="0.3"/>
  <pageSetup paperSize="9" scale="80" fitToHeight="1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0A356-9655-2243-89A2-889475565659}">
  <sheetPr>
    <pageSetUpPr fitToPage="1"/>
  </sheetPr>
  <dimension ref="A1:I14"/>
  <sheetViews>
    <sheetView showGridLines="0" workbookViewId="0">
      <selection activeCell="A2" sqref="A2"/>
    </sheetView>
  </sheetViews>
  <sheetFormatPr baseColWidth="10" defaultRowHeight="18"/>
  <cols>
    <col min="1" max="2" width="10.7109375" style="1"/>
    <col min="3" max="3" width="20.28515625" style="1" customWidth="1"/>
    <col min="4" max="9" width="4.28515625" style="1" customWidth="1"/>
    <col min="10" max="16384" width="10.7109375" style="1"/>
  </cols>
  <sheetData>
    <row r="1" spans="1:9">
      <c r="A1" s="1" t="s">
        <v>0</v>
      </c>
    </row>
    <row r="2" spans="1:9">
      <c r="D2" s="9">
        <v>1</v>
      </c>
      <c r="E2" s="9">
        <v>2</v>
      </c>
      <c r="F2" s="9">
        <v>3</v>
      </c>
      <c r="G2" s="9">
        <v>4</v>
      </c>
      <c r="H2" s="9">
        <v>5</v>
      </c>
      <c r="I2" s="9">
        <v>6</v>
      </c>
    </row>
    <row r="3" spans="1:9">
      <c r="A3" s="3" t="s">
        <v>1</v>
      </c>
      <c r="B3" s="4" t="s">
        <v>11</v>
      </c>
      <c r="C3" s="5" t="s">
        <v>2</v>
      </c>
      <c r="D3" s="15" t="s">
        <v>6</v>
      </c>
      <c r="E3" s="15" t="s">
        <v>6</v>
      </c>
      <c r="F3" s="15" t="s">
        <v>6</v>
      </c>
      <c r="G3" s="15"/>
      <c r="H3" s="15"/>
      <c r="I3" s="15"/>
    </row>
    <row r="4" spans="1:9">
      <c r="A4" s="6"/>
      <c r="B4" s="7"/>
      <c r="C4" s="5" t="s">
        <v>3</v>
      </c>
      <c r="D4" s="15"/>
      <c r="E4" s="15"/>
      <c r="F4" s="15"/>
      <c r="G4" s="15" t="s">
        <v>6</v>
      </c>
      <c r="H4" s="15" t="s">
        <v>6</v>
      </c>
      <c r="I4" s="15" t="s">
        <v>6</v>
      </c>
    </row>
    <row r="5" spans="1:9">
      <c r="A5" s="6"/>
      <c r="B5" s="4" t="s">
        <v>12</v>
      </c>
      <c r="C5" s="4" t="s">
        <v>4</v>
      </c>
      <c r="D5" s="15"/>
      <c r="E5" s="15" t="s">
        <v>6</v>
      </c>
      <c r="F5" s="15"/>
      <c r="G5" s="15"/>
      <c r="H5" s="15" t="s">
        <v>6</v>
      </c>
      <c r="I5" s="15"/>
    </row>
    <row r="6" spans="1:9">
      <c r="A6" s="8"/>
      <c r="B6" s="7"/>
      <c r="C6" s="5" t="s">
        <v>5</v>
      </c>
      <c r="D6" s="15"/>
      <c r="E6" s="15"/>
      <c r="F6" s="15" t="s">
        <v>6</v>
      </c>
      <c r="G6" s="15"/>
      <c r="H6" s="15"/>
      <c r="I6" s="15" t="s">
        <v>6</v>
      </c>
    </row>
    <row r="7" spans="1:9">
      <c r="A7" s="10" t="s">
        <v>13</v>
      </c>
      <c r="B7" s="11" t="s">
        <v>14</v>
      </c>
      <c r="C7" s="12" t="s">
        <v>7</v>
      </c>
      <c r="D7" s="14" t="s">
        <v>6</v>
      </c>
      <c r="E7" s="14"/>
      <c r="F7" s="14"/>
      <c r="G7" s="14"/>
      <c r="H7" s="14"/>
      <c r="I7" s="14"/>
    </row>
    <row r="8" spans="1:9">
      <c r="A8" s="10"/>
      <c r="B8" s="13"/>
      <c r="C8" s="12" t="s">
        <v>8</v>
      </c>
      <c r="D8" s="14"/>
      <c r="E8" s="14"/>
      <c r="F8" s="14" t="s">
        <v>6</v>
      </c>
      <c r="G8" s="14" t="s">
        <v>6</v>
      </c>
      <c r="H8" s="14"/>
      <c r="I8" s="14"/>
    </row>
    <row r="9" spans="1:9">
      <c r="A9" s="10"/>
      <c r="B9" s="13"/>
      <c r="C9" s="12" t="s">
        <v>10</v>
      </c>
      <c r="D9" s="14"/>
      <c r="E9" s="14" t="s">
        <v>6</v>
      </c>
      <c r="F9" s="14"/>
      <c r="G9" s="14"/>
      <c r="H9" s="14"/>
      <c r="I9" s="14" t="s">
        <v>6</v>
      </c>
    </row>
    <row r="10" spans="1:9">
      <c r="A10" s="10"/>
      <c r="B10" s="13"/>
      <c r="C10" s="11" t="s">
        <v>9</v>
      </c>
      <c r="D10" s="14"/>
      <c r="E10" s="14"/>
      <c r="F10" s="14"/>
      <c r="G10" s="14"/>
      <c r="H10" s="14" t="s">
        <v>6</v>
      </c>
      <c r="I10" s="14"/>
    </row>
    <row r="11" spans="1:9" ht="31" customHeight="1">
      <c r="A11" s="20" t="s">
        <v>16</v>
      </c>
      <c r="B11" s="21"/>
      <c r="C11" s="25" t="s">
        <v>25</v>
      </c>
      <c r="D11" s="16" t="s">
        <v>15</v>
      </c>
      <c r="E11" s="2" t="s">
        <v>15</v>
      </c>
      <c r="F11" s="2" t="s">
        <v>17</v>
      </c>
      <c r="G11" s="2" t="s">
        <v>15</v>
      </c>
      <c r="H11" s="2" t="s">
        <v>15</v>
      </c>
      <c r="I11" s="2"/>
    </row>
    <row r="12" spans="1:9" ht="31" customHeight="1">
      <c r="A12" s="22"/>
      <c r="B12" s="19"/>
      <c r="C12" s="25" t="s">
        <v>24</v>
      </c>
      <c r="D12" s="16" t="s">
        <v>22</v>
      </c>
      <c r="E12" s="16" t="s">
        <v>22</v>
      </c>
      <c r="F12" s="16" t="s">
        <v>22</v>
      </c>
      <c r="G12" s="16" t="s">
        <v>22</v>
      </c>
      <c r="H12" s="16" t="s">
        <v>23</v>
      </c>
      <c r="I12" s="16"/>
    </row>
    <row r="13" spans="1:9" ht="43" customHeight="1">
      <c r="A13" s="22"/>
      <c r="B13" s="19"/>
      <c r="C13" s="25" t="s">
        <v>26</v>
      </c>
      <c r="D13" s="18">
        <v>45699</v>
      </c>
      <c r="E13" s="17">
        <v>45699</v>
      </c>
      <c r="F13" s="17">
        <v>45699</v>
      </c>
      <c r="G13" s="17">
        <v>45699</v>
      </c>
      <c r="H13" s="17">
        <v>45700</v>
      </c>
      <c r="I13" s="17"/>
    </row>
    <row r="14" spans="1:9">
      <c r="A14" s="23"/>
      <c r="B14" s="24"/>
      <c r="C14" s="25" t="s">
        <v>27</v>
      </c>
      <c r="D14" s="16" t="s">
        <v>18</v>
      </c>
      <c r="E14" s="2" t="s">
        <v>18</v>
      </c>
      <c r="F14" s="2" t="s">
        <v>18</v>
      </c>
      <c r="G14" s="2" t="s">
        <v>18</v>
      </c>
      <c r="H14" s="2" t="s">
        <v>18</v>
      </c>
      <c r="I14" s="2"/>
    </row>
  </sheetData>
  <mergeCells count="2">
    <mergeCell ref="A3:A6"/>
    <mergeCell ref="A7:A10"/>
  </mergeCells>
  <phoneticPr fontId="1"/>
  <pageMargins left="0.7" right="0.7" top="0.75" bottom="0.75" header="0.3" footer="0.3"/>
  <pageSetup paperSize="9" fitToHeight="1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SUM</vt:lpstr>
      <vt:lpstr>case1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Hideaki Tanaka</dc:creator>
  <cp:lastModifiedBy>Hideaki Tanaka</cp:lastModifiedBy>
  <dcterms:created xsi:type="dcterms:W3CDTF">2025-02-11T03:41:37Z</dcterms:created>
  <dcterms:modified xsi:type="dcterms:W3CDTF">2025-02-11T04:45:34Z</dcterms:modified>
</cp:coreProperties>
</file>