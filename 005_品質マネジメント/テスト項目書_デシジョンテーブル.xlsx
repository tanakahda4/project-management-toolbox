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akahda/Desktop/project-management-toolbox/005_品質マネジメント/"/>
    </mc:Choice>
  </mc:AlternateContent>
  <xr:revisionPtr revIDLastSave="0" documentId="13_ncr:1_{CF71E50C-8420-C445-BC14-0C38096872AD}" xr6:coauthVersionLast="47" xr6:coauthVersionMax="47" xr10:uidLastSave="{00000000-0000-0000-0000-000000000000}"/>
  <bookViews>
    <workbookView xWindow="0" yWindow="500" windowWidth="28800" windowHeight="17500" xr2:uid="{FB9F2275-D551-E54D-8C69-FD8C942F700D}"/>
  </bookViews>
  <sheets>
    <sheet name="テストケース一覧" sheetId="2" r:id="rId1"/>
    <sheet name="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B2" i="1"/>
  <c r="D4" i="1"/>
  <c r="G4" i="1"/>
  <c r="F4" i="1"/>
  <c r="E4" i="1"/>
  <c r="H2" i="2" a="1"/>
  <c r="G2" i="2" a="1"/>
  <c r="D2" i="2" a="1"/>
  <c r="F2" i="2" a="1"/>
  <c r="H2" i="2" l="1"/>
  <c r="G2" i="2"/>
  <c r="D2" i="2"/>
  <c r="F2" i="2"/>
  <c r="E2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<sst xmlns="http://schemas.openxmlformats.org/spreadsheetml/2006/main" count="68" uniqueCount="37">
  <si>
    <t>条件</t>
    <rPh sb="0" eb="2">
      <t xml:space="preserve">ジョウケン </t>
    </rPh>
    <phoneticPr fontId="1"/>
  </si>
  <si>
    <t>新作</t>
    <rPh sb="0" eb="2">
      <t xml:space="preserve">シンサク </t>
    </rPh>
    <phoneticPr fontId="1"/>
  </si>
  <si>
    <t>旧作</t>
    <rPh sb="0" eb="2">
      <t xml:space="preserve">キュウサク </t>
    </rPh>
    <phoneticPr fontId="1"/>
  </si>
  <si>
    <t>年齢60歳以上</t>
    <rPh sb="0" eb="2">
      <t xml:space="preserve">ネンレイ </t>
    </rPh>
    <rPh sb="4" eb="5">
      <t xml:space="preserve">サイ </t>
    </rPh>
    <rPh sb="5" eb="7">
      <t xml:space="preserve">イジョウ </t>
    </rPh>
    <phoneticPr fontId="1"/>
  </si>
  <si>
    <t>年齢18歳未満</t>
    <rPh sb="0" eb="1">
      <t xml:space="preserve">ネンレイ </t>
    </rPh>
    <rPh sb="4" eb="5">
      <t xml:space="preserve">サイ </t>
    </rPh>
    <rPh sb="5" eb="7">
      <t xml:space="preserve">ミマン </t>
    </rPh>
    <phoneticPr fontId="1"/>
  </si>
  <si>
    <t>◯</t>
    <phoneticPr fontId="1"/>
  </si>
  <si>
    <t>通常料金</t>
    <rPh sb="0" eb="2">
      <t xml:space="preserve">ツウジョウ </t>
    </rPh>
    <rPh sb="2" eb="4">
      <t xml:space="preserve">リョウキン </t>
    </rPh>
    <phoneticPr fontId="1"/>
  </si>
  <si>
    <t>10%オフ</t>
    <phoneticPr fontId="1"/>
  </si>
  <si>
    <t>半額</t>
    <rPh sb="0" eb="2">
      <t xml:space="preserve">ハンガク </t>
    </rPh>
    <phoneticPr fontId="1"/>
  </si>
  <si>
    <t>15%オフ</t>
    <phoneticPr fontId="1"/>
  </si>
  <si>
    <t>新旧</t>
    <rPh sb="0" eb="2">
      <t xml:space="preserve">シンキュウ </t>
    </rPh>
    <phoneticPr fontId="1"/>
  </si>
  <si>
    <t>年齢</t>
    <rPh sb="0" eb="2">
      <t xml:space="preserve">ネンレイ </t>
    </rPh>
    <phoneticPr fontId="1"/>
  </si>
  <si>
    <t>料金</t>
    <rPh sb="0" eb="2">
      <t xml:space="preserve">リョウキン </t>
    </rPh>
    <phoneticPr fontId="1"/>
  </si>
  <si>
    <t>OK</t>
    <phoneticPr fontId="1"/>
  </si>
  <si>
    <t>結果</t>
    <rPh sb="0" eb="2">
      <t xml:space="preserve">ケッカ </t>
    </rPh>
    <phoneticPr fontId="1"/>
  </si>
  <si>
    <t>NG</t>
    <phoneticPr fontId="1"/>
  </si>
  <si>
    <t>田中</t>
    <rPh sb="0" eb="2">
      <t xml:space="preserve">タナカ </t>
    </rPh>
    <phoneticPr fontId="1"/>
  </si>
  <si>
    <t>N/A</t>
    <phoneticPr fontId="1"/>
  </si>
  <si>
    <t>v1.0</t>
    <phoneticPr fontId="1"/>
  </si>
  <si>
    <t>v1.1</t>
    <phoneticPr fontId="1"/>
  </si>
  <si>
    <t>ソフトウェアバージョン</t>
    <phoneticPr fontId="1"/>
  </si>
  <si>
    <t>OK｜NG｜N/A</t>
    <phoneticPr fontId="1"/>
  </si>
  <si>
    <t>日付</t>
    <rPh sb="0" eb="2">
      <t xml:space="preserve">ヒヅケ </t>
    </rPh>
    <phoneticPr fontId="1"/>
  </si>
  <si>
    <t>担当者</t>
    <rPh sb="0" eb="3">
      <t xml:space="preserve">タントウシャ </t>
    </rPh>
    <phoneticPr fontId="1"/>
  </si>
  <si>
    <t>消化数</t>
    <rPh sb="0" eb="3">
      <t xml:space="preserve">ショウカスウ </t>
    </rPh>
    <phoneticPr fontId="1"/>
  </si>
  <si>
    <t>全項目数</t>
    <rPh sb="0" eb="1">
      <t xml:space="preserve">ゼン </t>
    </rPh>
    <rPh sb="1" eb="3">
      <t xml:space="preserve">コウモク </t>
    </rPh>
    <rPh sb="3" eb="4">
      <t xml:space="preserve">スウ </t>
    </rPh>
    <phoneticPr fontId="1"/>
  </si>
  <si>
    <t>テストケース名</t>
    <rPh sb="6" eb="7">
      <t xml:space="preserve">メイ </t>
    </rPh>
    <phoneticPr fontId="1"/>
  </si>
  <si>
    <t>内容</t>
    <rPh sb="0" eb="2">
      <t xml:space="preserve">ナイヨウ </t>
    </rPh>
    <phoneticPr fontId="1"/>
  </si>
  <si>
    <t>#</t>
    <phoneticPr fontId="1"/>
  </si>
  <si>
    <t>レンタルビデオの料金割引</t>
    <phoneticPr fontId="1"/>
  </si>
  <si>
    <t>新旧作・年齢条件に応じた割引率</t>
    <rPh sb="0" eb="3">
      <t xml:space="preserve">シンキュウサク </t>
    </rPh>
    <rPh sb="4" eb="6">
      <t xml:space="preserve">ネンレイ </t>
    </rPh>
    <rPh sb="6" eb="8">
      <t xml:space="preserve">ジョウケン </t>
    </rPh>
    <rPh sb="9" eb="10">
      <t xml:space="preserve">オウジタ </t>
    </rPh>
    <rPh sb="12" eb="15">
      <t xml:space="preserve">ワリビキリツ </t>
    </rPh>
    <phoneticPr fontId="1"/>
  </si>
  <si>
    <t>件数</t>
    <rPh sb="0" eb="2">
      <t xml:space="preserve">ケンスウ </t>
    </rPh>
    <phoneticPr fontId="1"/>
  </si>
  <si>
    <t>期待値</t>
    <rPh sb="0" eb="3">
      <t xml:space="preserve">キタイチ </t>
    </rPh>
    <phoneticPr fontId="1"/>
  </si>
  <si>
    <t>テスト名</t>
    <rPh sb="3" eb="4">
      <t xml:space="preserve">メイ </t>
    </rPh>
    <phoneticPr fontId="1"/>
  </si>
  <si>
    <t>作成者/承認者</t>
    <rPh sb="0" eb="2">
      <t xml:space="preserve">サクセイ </t>
    </rPh>
    <rPh sb="2" eb="3">
      <t xml:space="preserve">シャ </t>
    </rPh>
    <rPh sb="4" eb="7">
      <t xml:space="preserve">ショウニンシャ </t>
    </rPh>
    <phoneticPr fontId="1"/>
  </si>
  <si>
    <t>作成日</t>
    <rPh sb="0" eb="1">
      <t xml:space="preserve">サクセイビ </t>
    </rPh>
    <phoneticPr fontId="1"/>
  </si>
  <si>
    <t>備考</t>
    <rPh sb="0" eb="2">
      <t xml:space="preserve">ビコウ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</si>
</sst>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2"/>
      <color theme="0"/>
      <name val="Meiryo UI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2" borderId="2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3" borderId="2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6" xfId="0" applyFont="1" applyFill="1" applyBorder="1">
      <alignment vertical="center"/>
    </xf>
    <xf numFmtId="0" fontId="2" fillId="6" borderId="7" xfId="0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7" borderId="1" xfId="0" applyFont="1" applyFill="1" applyBorder="1">
      <alignment vertical="center"/>
    </xf>
    <xf numFmtId="0" fontId="3" fillId="7" borderId="0" xfId="0" applyFont="1" applyFill="1">
      <alignment vertical="center"/>
    </xf>
    <xf numFmtId="0" fontId="2" fillId="6" borderId="5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0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 shrinkToFit="1"/>
    </xf>
    <xf numFmtId="176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vertical="top" textRotation="255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1501-6E3B-5943-9EE4-63A289DAB9C9}">
  <sheetPr>
    <pageSetUpPr fitToPage="1"/>
  </sheetPr>
  <dimension ref="A1:H3"/>
  <sheetViews>
    <sheetView showGridLines="0" tabSelected="1" workbookViewId="0">
      <selection activeCell="C28" sqref="C28"/>
    </sheetView>
  </sheetViews>
  <sheetFormatPr baseColWidth="10" defaultRowHeight="18"/>
  <cols>
    <col min="1" max="1" width="5.85546875" style="1" customWidth="1"/>
    <col min="2" max="2" width="23.42578125" style="1" customWidth="1"/>
    <col min="3" max="3" width="49.28515625" style="1" customWidth="1"/>
    <col min="4" max="8" width="8.5703125" style="1" customWidth="1"/>
    <col min="9" max="16384" width="10.7109375" style="1"/>
  </cols>
  <sheetData>
    <row r="1" spans="1:8">
      <c r="A1" s="19" t="s">
        <v>28</v>
      </c>
      <c r="B1" s="19" t="s">
        <v>26</v>
      </c>
      <c r="C1" s="19" t="s">
        <v>27</v>
      </c>
      <c r="D1" s="19" t="s">
        <v>25</v>
      </c>
      <c r="E1" s="19" t="s">
        <v>24</v>
      </c>
      <c r="F1" s="19" t="s">
        <v>13</v>
      </c>
      <c r="G1" s="19" t="s">
        <v>15</v>
      </c>
      <c r="H1" s="19" t="s">
        <v>17</v>
      </c>
    </row>
    <row r="2" spans="1:8">
      <c r="A2" s="2">
        <v>1</v>
      </c>
      <c r="B2" s="2" t="s">
        <v>29</v>
      </c>
      <c r="C2" s="2" t="s">
        <v>30</v>
      </c>
      <c r="D2" s="2" cm="1">
        <f t="array" aca="1" ref="D2" ca="1">INDIRECT($A2&amp;"!$D$4")</f>
        <v>6</v>
      </c>
      <c r="E2" s="2">
        <f ca="1">SUM(F2:H2)</f>
        <v>5</v>
      </c>
      <c r="F2" s="2" cm="1">
        <f t="array" aca="1" ref="F2" ca="1">INDIRECT($A2&amp;"!$E$4")</f>
        <v>4</v>
      </c>
      <c r="G2" s="2" cm="1">
        <f t="array" aca="1" ref="G2" ca="1">INDIRECT($A2&amp;"!$F$4")</f>
        <v>1</v>
      </c>
      <c r="H2" s="2" cm="1">
        <f t="array" aca="1" ref="H2" ca="1">INDIRECT($A2&amp;"!$G$4")</f>
        <v>0</v>
      </c>
    </row>
    <row r="3" spans="1:8">
      <c r="A3" s="2">
        <v>2</v>
      </c>
      <c r="B3" s="2"/>
      <c r="C3" s="2"/>
      <c r="D3" s="2"/>
      <c r="E3" s="2"/>
      <c r="F3" s="2"/>
      <c r="G3" s="2"/>
      <c r="H3" s="2"/>
    </row>
  </sheetData>
  <phoneticPr fontId="1"/>
  <pageMargins left="0.7" right="0.7" top="0.75" bottom="0.75" header="0.3" footer="0.3"/>
  <pageSetup paperSize="9" scale="58" fitToHeight="10" orientation="portrait" horizontalDpi="0" verticalDpi="0"/>
  <headerFooter>
    <oddHeader>&amp;C&amp;"游ゴシック Regular,標準"&amp;K000000&amp;F / &amp;A</oddHeader>
    <oddFooter>&amp;C&amp;"游ゴシック Regular,標準"&amp;K000000&amp;P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0A356-9655-2243-89A2-889475565659}">
  <sheetPr>
    <pageSetUpPr fitToPage="1"/>
  </sheetPr>
  <dimension ref="A1:I19"/>
  <sheetViews>
    <sheetView showGridLines="0" workbookViewId="0">
      <selection activeCell="K19" sqref="K19"/>
    </sheetView>
  </sheetViews>
  <sheetFormatPr baseColWidth="10" defaultRowHeight="18"/>
  <cols>
    <col min="1" max="1" width="14.140625" style="1" customWidth="1"/>
    <col min="2" max="2" width="10" style="1" customWidth="1"/>
    <col min="3" max="3" width="33.85546875" style="1" customWidth="1"/>
    <col min="4" max="9" width="4.28515625" style="1" customWidth="1"/>
    <col min="10" max="16384" width="10.7109375" style="1"/>
  </cols>
  <sheetData>
    <row r="1" spans="1:9">
      <c r="A1" s="20" t="s">
        <v>33</v>
      </c>
      <c r="B1" s="1" t="str">
        <f>テストケース一覧!B2</f>
        <v>レンタルビデオの料金割引</v>
      </c>
    </row>
    <row r="2" spans="1:9">
      <c r="A2" s="20" t="s">
        <v>27</v>
      </c>
      <c r="B2" s="1" t="str">
        <f>テストケース一覧!C2</f>
        <v>新旧作・年齢条件に応じた割引率</v>
      </c>
    </row>
    <row r="3" spans="1:9">
      <c r="A3" s="20" t="s">
        <v>35</v>
      </c>
      <c r="D3" s="19" t="s">
        <v>31</v>
      </c>
      <c r="E3" s="19" t="s">
        <v>13</v>
      </c>
      <c r="F3" s="19" t="s">
        <v>15</v>
      </c>
      <c r="G3" s="19" t="s">
        <v>17</v>
      </c>
    </row>
    <row r="4" spans="1:9">
      <c r="A4" s="20" t="s">
        <v>34</v>
      </c>
      <c r="D4" s="2">
        <f>COUNTA(6:6)</f>
        <v>6</v>
      </c>
      <c r="E4" s="2">
        <f>COUNTIF(15:15,"OK")</f>
        <v>4</v>
      </c>
      <c r="F4" s="2">
        <f>COUNTIF(15:15,"NG")</f>
        <v>1</v>
      </c>
      <c r="G4" s="2">
        <f>COUNTIF(15:15,"N/A")</f>
        <v>0</v>
      </c>
    </row>
    <row r="6" spans="1:9">
      <c r="D6" s="6">
        <v>1</v>
      </c>
      <c r="E6" s="6">
        <v>2</v>
      </c>
      <c r="F6" s="6">
        <v>3</v>
      </c>
      <c r="G6" s="6">
        <v>4</v>
      </c>
      <c r="H6" s="6">
        <v>5</v>
      </c>
      <c r="I6" s="6">
        <v>6</v>
      </c>
    </row>
    <row r="7" spans="1:9">
      <c r="A7" s="15" t="s">
        <v>0</v>
      </c>
      <c r="B7" s="3" t="s">
        <v>10</v>
      </c>
      <c r="C7" s="4" t="s">
        <v>1</v>
      </c>
      <c r="D7" s="11" t="s">
        <v>5</v>
      </c>
      <c r="E7" s="11" t="s">
        <v>5</v>
      </c>
      <c r="F7" s="11" t="s">
        <v>5</v>
      </c>
      <c r="G7" s="11"/>
      <c r="H7" s="11"/>
      <c r="I7" s="11"/>
    </row>
    <row r="8" spans="1:9">
      <c r="A8" s="16"/>
      <c r="B8" s="5"/>
      <c r="C8" s="4" t="s">
        <v>2</v>
      </c>
      <c r="D8" s="11"/>
      <c r="E8" s="11"/>
      <c r="F8" s="11"/>
      <c r="G8" s="11" t="s">
        <v>5</v>
      </c>
      <c r="H8" s="11" t="s">
        <v>5</v>
      </c>
      <c r="I8" s="11" t="s">
        <v>5</v>
      </c>
    </row>
    <row r="9" spans="1:9">
      <c r="A9" s="16"/>
      <c r="B9" s="3" t="s">
        <v>11</v>
      </c>
      <c r="C9" s="3" t="s">
        <v>3</v>
      </c>
      <c r="D9" s="11"/>
      <c r="E9" s="11" t="s">
        <v>5</v>
      </c>
      <c r="F9" s="11"/>
      <c r="G9" s="11"/>
      <c r="H9" s="11" t="s">
        <v>5</v>
      </c>
      <c r="I9" s="11"/>
    </row>
    <row r="10" spans="1:9">
      <c r="A10" s="17"/>
      <c r="B10" s="5"/>
      <c r="C10" s="4" t="s">
        <v>4</v>
      </c>
      <c r="D10" s="11"/>
      <c r="E10" s="11"/>
      <c r="F10" s="11" t="s">
        <v>5</v>
      </c>
      <c r="G10" s="11"/>
      <c r="H10" s="11"/>
      <c r="I10" s="11" t="s">
        <v>5</v>
      </c>
    </row>
    <row r="11" spans="1:9">
      <c r="A11" s="18" t="s">
        <v>32</v>
      </c>
      <c r="B11" s="7" t="s">
        <v>12</v>
      </c>
      <c r="C11" s="8" t="s">
        <v>6</v>
      </c>
      <c r="D11" s="10" t="s">
        <v>5</v>
      </c>
      <c r="E11" s="10"/>
      <c r="F11" s="10"/>
      <c r="G11" s="10"/>
      <c r="H11" s="10"/>
      <c r="I11" s="10"/>
    </row>
    <row r="12" spans="1:9">
      <c r="A12" s="18"/>
      <c r="B12" s="9"/>
      <c r="C12" s="8" t="s">
        <v>7</v>
      </c>
      <c r="D12" s="10"/>
      <c r="E12" s="10"/>
      <c r="F12" s="10" t="s">
        <v>5</v>
      </c>
      <c r="G12" s="10" t="s">
        <v>5</v>
      </c>
      <c r="H12" s="10"/>
      <c r="I12" s="10"/>
    </row>
    <row r="13" spans="1:9">
      <c r="A13" s="18"/>
      <c r="B13" s="9"/>
      <c r="C13" s="8" t="s">
        <v>9</v>
      </c>
      <c r="D13" s="10"/>
      <c r="E13" s="10" t="s">
        <v>5</v>
      </c>
      <c r="F13" s="10"/>
      <c r="G13" s="10"/>
      <c r="H13" s="10"/>
      <c r="I13" s="10" t="s">
        <v>5</v>
      </c>
    </row>
    <row r="14" spans="1:9">
      <c r="A14" s="18"/>
      <c r="B14" s="9"/>
      <c r="C14" s="7" t="s">
        <v>8</v>
      </c>
      <c r="D14" s="10"/>
      <c r="E14" s="10"/>
      <c r="F14" s="10"/>
      <c r="G14" s="10"/>
      <c r="H14" s="10" t="s">
        <v>5</v>
      </c>
      <c r="I14" s="10"/>
    </row>
    <row r="15" spans="1:9" ht="31" customHeight="1">
      <c r="A15" s="12" t="s">
        <v>14</v>
      </c>
      <c r="B15" s="22"/>
      <c r="C15" s="21" t="s">
        <v>21</v>
      </c>
      <c r="D15" s="25" t="s">
        <v>13</v>
      </c>
      <c r="E15" s="26" t="s">
        <v>13</v>
      </c>
      <c r="F15" s="26" t="s">
        <v>15</v>
      </c>
      <c r="G15" s="26" t="s">
        <v>13</v>
      </c>
      <c r="H15" s="26" t="s">
        <v>13</v>
      </c>
      <c r="I15" s="26"/>
    </row>
    <row r="16" spans="1:9" ht="31" customHeight="1">
      <c r="A16" s="13"/>
      <c r="B16" s="23"/>
      <c r="C16" s="21" t="s">
        <v>20</v>
      </c>
      <c r="D16" s="25" t="s">
        <v>18</v>
      </c>
      <c r="E16" s="25" t="s">
        <v>18</v>
      </c>
      <c r="F16" s="25" t="s">
        <v>18</v>
      </c>
      <c r="G16" s="25" t="s">
        <v>18</v>
      </c>
      <c r="H16" s="25" t="s">
        <v>19</v>
      </c>
      <c r="I16" s="25"/>
    </row>
    <row r="17" spans="1:9" ht="43" customHeight="1">
      <c r="A17" s="13"/>
      <c r="B17" s="23"/>
      <c r="C17" s="21" t="s">
        <v>22</v>
      </c>
      <c r="D17" s="27">
        <v>45699</v>
      </c>
      <c r="E17" s="28">
        <v>45699</v>
      </c>
      <c r="F17" s="28">
        <v>45699</v>
      </c>
      <c r="G17" s="28">
        <v>45699</v>
      </c>
      <c r="H17" s="28">
        <v>45700</v>
      </c>
      <c r="I17" s="28"/>
    </row>
    <row r="18" spans="1:9">
      <c r="A18" s="13"/>
      <c r="B18" s="23"/>
      <c r="C18" s="21" t="s">
        <v>23</v>
      </c>
      <c r="D18" s="25" t="s">
        <v>16</v>
      </c>
      <c r="E18" s="26" t="s">
        <v>16</v>
      </c>
      <c r="F18" s="26" t="s">
        <v>16</v>
      </c>
      <c r="G18" s="26" t="s">
        <v>16</v>
      </c>
      <c r="H18" s="26" t="s">
        <v>16</v>
      </c>
      <c r="I18" s="26"/>
    </row>
    <row r="19" spans="1:9" ht="142" customHeight="1">
      <c r="A19" s="14"/>
      <c r="B19" s="24"/>
      <c r="C19" s="21" t="s">
        <v>36</v>
      </c>
      <c r="D19" s="29"/>
      <c r="E19" s="29"/>
      <c r="F19" s="29"/>
      <c r="G19" s="29"/>
      <c r="H19" s="29"/>
      <c r="I19" s="29"/>
    </row>
  </sheetData>
  <mergeCells count="2">
    <mergeCell ref="A7:A10"/>
    <mergeCell ref="A11:A14"/>
  </mergeCells>
  <phoneticPr fontId="1"/>
  <pageMargins left="0.7" right="0.7" top="0.75" bottom="0.75" header="0.3" footer="0.3"/>
  <pageSetup paperSize="8" fitToHeight="20" orientation="landscape" horizontalDpi="0" verticalDpi="0"/>
  <headerFooter>
    <oddHeader>&amp;C&amp;"游ゴシック Regular,標準"&amp;K000000&amp;F / &amp;A</oddHeader>
    <oddFooter>&amp;C&amp;"游ゴシック Regular,標準"&amp;K000000&amp;P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テストケース一覧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Hideaki Tanaka</dc:creator>
  <cp:lastModifiedBy>Hideaki Tanaka</cp:lastModifiedBy>
  <dcterms:created xsi:type="dcterms:W3CDTF">2025-02-11T03:41:37Z</dcterms:created>
  <dcterms:modified xsi:type="dcterms:W3CDTF">2025-03-14T00:29:41Z</dcterms:modified>
</cp:coreProperties>
</file>